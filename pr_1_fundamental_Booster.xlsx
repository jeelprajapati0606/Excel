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49697906cb224f/Desktop/"/>
    </mc:Choice>
  </mc:AlternateContent>
  <xr:revisionPtr revIDLastSave="500" documentId="8_{426226C1-238E-48CF-B8A5-C2D04335AE24}" xr6:coauthVersionLast="47" xr6:coauthVersionMax="47" xr10:uidLastSave="{C1658F9A-480A-479F-B116-9DC6FC282155}"/>
  <bookViews>
    <workbookView xWindow="-108" yWindow="-108" windowWidth="23256" windowHeight="13896" xr2:uid="{36573E7F-C985-4275-9B5C-43DEE929F4D5}"/>
  </bookViews>
  <sheets>
    <sheet name="Student Grade" sheetId="1" r:id="rId1"/>
    <sheet name="Sales Data" sheetId="2" r:id="rId2"/>
    <sheet name="Employee Data" sheetId="3" r:id="rId3"/>
    <sheet name="TEXT FUNCTION" sheetId="4" r:id="rId4"/>
  </sheets>
  <definedNames>
    <definedName name="Salary">Table3[[#All],[Salary]]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 a="1"/>
  <c r="F29" i="1" s="1"/>
  <c r="D35" i="2"/>
  <c r="D34" i="2"/>
  <c r="D33" i="2"/>
  <c r="F19" i="3"/>
  <c r="F20" i="3"/>
  <c r="F21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I24" i="2"/>
  <c r="F29" i="2"/>
  <c r="C26" i="3"/>
  <c r="C29" i="2"/>
  <c r="E3" i="4"/>
  <c r="E4" i="4"/>
  <c r="E5" i="4"/>
  <c r="E2" i="4"/>
  <c r="D3" i="4"/>
  <c r="D4" i="4"/>
  <c r="D5" i="4"/>
  <c r="D2" i="4"/>
  <c r="C5" i="4"/>
  <c r="C4" i="4"/>
  <c r="C3" i="4"/>
  <c r="C2" i="4"/>
  <c r="B3" i="4"/>
  <c r="B4" i="4"/>
  <c r="B5" i="4"/>
  <c r="B2" i="4"/>
  <c r="C24" i="3"/>
  <c r="C27" i="2" a="1"/>
  <c r="C27" i="2" s="1"/>
  <c r="F24" i="2"/>
  <c r="C27" i="1"/>
  <c r="C24" i="2"/>
  <c r="C24" i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I4" i="1"/>
  <c r="J4" i="1" s="1"/>
  <c r="K4" i="1" s="1"/>
  <c r="I5" i="1"/>
  <c r="J5" i="1" s="1"/>
  <c r="K5" i="1" s="1"/>
  <c r="I6" i="1"/>
  <c r="J6" i="1" s="1"/>
  <c r="K6" i="1" s="1"/>
  <c r="I7" i="1"/>
  <c r="J7" i="1" s="1"/>
  <c r="K7" i="1" s="1"/>
  <c r="I8" i="1"/>
  <c r="J8" i="1" s="1"/>
  <c r="K8" i="1" s="1"/>
  <c r="I9" i="1"/>
  <c r="J9" i="1" s="1"/>
  <c r="K9" i="1" s="1"/>
  <c r="I10" i="1"/>
  <c r="J10" i="1" s="1"/>
  <c r="K10" i="1" s="1"/>
  <c r="I11" i="1"/>
  <c r="J11" i="1" s="1"/>
  <c r="K11" i="1" s="1"/>
  <c r="I12" i="1"/>
  <c r="J12" i="1" s="1"/>
  <c r="K12" i="1" s="1"/>
  <c r="I13" i="1"/>
  <c r="J13" i="1" s="1"/>
  <c r="K13" i="1" s="1"/>
  <c r="I14" i="1"/>
  <c r="J14" i="1" s="1"/>
  <c r="K14" i="1" s="1"/>
  <c r="I15" i="1"/>
  <c r="J15" i="1" s="1"/>
  <c r="K15" i="1" s="1"/>
  <c r="I16" i="1"/>
  <c r="J16" i="1" s="1"/>
  <c r="K16" i="1" s="1"/>
  <c r="I17" i="1"/>
  <c r="J17" i="1" s="1"/>
  <c r="K17" i="1" s="1"/>
  <c r="I18" i="1"/>
  <c r="J18" i="1" s="1"/>
  <c r="K18" i="1" s="1"/>
  <c r="I19" i="1"/>
  <c r="J19" i="1" s="1"/>
  <c r="K19" i="1" s="1"/>
  <c r="I20" i="1"/>
  <c r="J20" i="1" s="1"/>
  <c r="K20" i="1" s="1"/>
  <c r="I21" i="1"/>
  <c r="J21" i="1" s="1"/>
  <c r="K21" i="1" s="1"/>
  <c r="I2" i="1"/>
  <c r="J2" i="1" s="1"/>
  <c r="K2" i="1" s="1"/>
  <c r="I3" i="1"/>
  <c r="J3" i="1" s="1"/>
  <c r="K3" i="1" s="1"/>
  <c r="C28" i="3"/>
  <c r="F24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<sst xmlns="http://schemas.openxmlformats.org/spreadsheetml/2006/main" count="194" uniqueCount="145">
  <si>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</si>
  <si>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</si>
  <si>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</si>
  <si>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</si>
  <si>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</si>
  <si>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</si>
  <si>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</si>
  <si>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</si>
  <si>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</si>
  <si>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</si>
  <si>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</si>
  <si>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</si>
  <si>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</si>
  <si>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</si>
  <si>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</si>
  <si>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</si>
  <si>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</si>
  <si>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</si>
  <si>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</si>
  <si>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</si>
  <si>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</si>
  <si>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</si>
  <si>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</si>
  <si>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</si>
  <si>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</si>
  <si>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</si>
  <si>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</si>
  <si>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</si>
  <si>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</si>
  <si>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</si>
  <si>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</si>
  <si>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</si>
  <si>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</si>
  <si>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</si>
  <si>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</si>
  <si>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</si>
  <si>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</si>
  <si>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</si>
  <si>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</si>
  <si>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</si>
  <si>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</si>
  <si>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</si>
  <si>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</si>
  <si>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</si>
  <si>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</si>
  <si>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</si>
  <si>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</si>
  <si>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</si>
  <si>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</si>
  <si>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</si>
  <si>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</si>
  <si>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</si>
  <si>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</si>
  <si>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</si>
  <si>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</si>
  <si>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</si>
  <si>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</si>
  <si>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</si>
  <si>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</si>
  <si>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</si>
  <si>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</si>
  <si>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</si>
  <si>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</si>
  <si>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</si>
  <si>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</si>
  <si>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</si>
  <si>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</si>
  <si>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</si>
  <si>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</si>
  <si>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</si>
  <si>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</si>
  <si>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</si>
  <si>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</si>
  <si>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</si>
  <si>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</si>
  <si>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</si>
  <si>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</si>
  <si>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</si>
  <si>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</si>
  <si>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</si>
  <si>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</si>
  <si>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</si>
  <si>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</si>
  <si>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</si>
  <si>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</si>
  <si>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</si>
  <si>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</si>
  <si>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</si>
  <si>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</si>
  <si>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Total Marks</t>
  </si>
  <si>
    <t>percentage</t>
  </si>
  <si>
    <t>grade</t>
  </si>
  <si>
    <t>Discount rate</t>
  </si>
  <si>
    <t>score</t>
  </si>
  <si>
    <t>Discount type</t>
  </si>
  <si>
    <t>Total Sales For Specific Region And Product (Sumifs)</t>
  </si>
  <si>
    <t>The Number Of Student Who Scored Above 50 In Math (Countifs)</t>
  </si>
  <si>
    <t>The Average Score Of Students Who Scored Above 60 (Averageifs)</t>
  </si>
  <si>
    <t>Student name based on ID Use VLOOKUP</t>
  </si>
  <si>
    <t>Product Code</t>
  </si>
  <si>
    <t>PC1001</t>
  </si>
  <si>
    <t>PC1002</t>
  </si>
  <si>
    <t>PC1003</t>
  </si>
  <si>
    <t>PC1004</t>
  </si>
  <si>
    <t>PC1005</t>
  </si>
  <si>
    <t>PC1006</t>
  </si>
  <si>
    <t>PC1007</t>
  </si>
  <si>
    <t>PC1008</t>
  </si>
  <si>
    <t>PC1009</t>
  </si>
  <si>
    <t>PC1010</t>
  </si>
  <si>
    <t>PC1011</t>
  </si>
  <si>
    <t>PC1012</t>
  </si>
  <si>
    <t>PC1013</t>
  </si>
  <si>
    <t>PC1014</t>
  </si>
  <si>
    <t>PC1015</t>
  </si>
  <si>
    <t>PC1016</t>
  </si>
  <si>
    <t>PC1017</t>
  </si>
  <si>
    <t>PC1018</t>
  </si>
  <si>
    <t>PC1019</t>
  </si>
  <si>
    <t>PC1020</t>
  </si>
  <si>
    <t>Product price based on product code (VLOOKUP)</t>
  </si>
  <si>
    <t>INDEX AND MATCH</t>
  </si>
  <si>
    <t xml:space="preserve"> </t>
  </si>
  <si>
    <t>alice smith</t>
  </si>
  <si>
    <t>john jane</t>
  </si>
  <si>
    <t>charlie smith</t>
  </si>
  <si>
    <t>bob patel</t>
  </si>
  <si>
    <t>USE LEFT</t>
  </si>
  <si>
    <t>FULL NAME</t>
  </si>
  <si>
    <t>USE FIND</t>
  </si>
  <si>
    <t>UPPER</t>
  </si>
  <si>
    <t>LOWER</t>
  </si>
  <si>
    <t>search for sales person performance  based using XLOOKUP</t>
  </si>
  <si>
    <t>Find Employee Salaries Without Worrying About Sorted Data</t>
  </si>
  <si>
    <t>Find The Position Of A Product In Sales List  (XMATCH)</t>
  </si>
  <si>
    <t>Dynamically Refrence A Cell Range Using Indirect</t>
  </si>
  <si>
    <t>Create Dynamic Range For Sales Trend (OFFSET)</t>
  </si>
  <si>
    <t>Date Of Birth</t>
  </si>
  <si>
    <t>Current Age</t>
  </si>
  <si>
    <t>working Days</t>
  </si>
  <si>
    <t>ROUND</t>
  </si>
  <si>
    <t>CEILING</t>
  </si>
  <si>
    <t>FLOOR</t>
  </si>
  <si>
    <t>MATH FUNCTION</t>
  </si>
  <si>
    <t>Top Perfomers using (FILTER FUNCTION)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</si>
</sst>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2" fontId="2" fillId="0" borderId="3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22" fontId="2" fillId="0" borderId="9" xfId="0" applyNumberFormat="1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164" fontId="1" fillId="4" borderId="5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22" fontId="2" fillId="0" borderId="10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22" fontId="2" fillId="0" borderId="17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10" xfId="0" applyBorder="1"/>
    <xf numFmtId="0" fontId="2" fillId="0" borderId="13" xfId="0" applyFont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164" fontId="1" fillId="3" borderId="12" xfId="0" applyNumberFormat="1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center" vertical="center" wrapText="1"/>
    </xf>
    <xf numFmtId="22" fontId="2" fillId="0" borderId="15" xfId="0" applyNumberFormat="1" applyFont="1" applyBorder="1" applyAlignment="1">
      <alignment horizontal="center" vertical="center" wrapText="1"/>
    </xf>
    <xf numFmtId="164" fontId="2" fillId="0" borderId="17" xfId="0" applyNumberFormat="1" applyFont="1" applyBorder="1" applyAlignment="1">
      <alignment horizontal="center" vertical="center" wrapText="1"/>
    </xf>
    <xf numFmtId="22" fontId="2" fillId="0" borderId="18" xfId="0" applyNumberFormat="1" applyFont="1" applyBorder="1" applyAlignment="1">
      <alignment horizontal="center" vertical="center" wrapText="1"/>
    </xf>
    <xf numFmtId="22" fontId="2" fillId="0" borderId="12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0" fillId="0" borderId="18" xfId="0" applyBorder="1"/>
    <xf numFmtId="0" fontId="0" fillId="0" borderId="13" xfId="0" applyBorder="1"/>
    <xf numFmtId="0" fontId="0" fillId="0" borderId="11" xfId="0" applyBorder="1"/>
    <xf numFmtId="0" fontId="0" fillId="0" borderId="16" xfId="0" applyBorder="1"/>
    <xf numFmtId="0" fontId="0" fillId="0" borderId="20" xfId="0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14" xfId="0" applyBorder="1"/>
    <xf numFmtId="0" fontId="7" fillId="0" borderId="20" xfId="0" applyFont="1" applyBorder="1" applyAlignment="1">
      <alignment horizontal="center" vertical="center"/>
    </xf>
    <xf numFmtId="14" fontId="2" fillId="2" borderId="12" xfId="0" applyNumberFormat="1" applyFont="1" applyFill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14" fontId="2" fillId="0" borderId="17" xfId="0" applyNumberFormat="1" applyFont="1" applyBorder="1" applyAlignment="1">
      <alignment horizontal="center" vertical="center" wrapText="1"/>
    </xf>
    <xf numFmtId="0" fontId="2" fillId="2" borderId="12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Border="1" applyAlignment="1">
      <alignment horizontal="center" vertical="center" wrapText="1"/>
    </xf>
    <xf numFmtId="0" fontId="2" fillId="0" borderId="17" xfId="0" applyNumberFormat="1" applyFont="1" applyBorder="1" applyAlignment="1">
      <alignment horizontal="center" vertical="center"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1" fillId="4" borderId="1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5" borderId="10" xfId="0" applyFill="1" applyBorder="1"/>
    <xf numFmtId="0" fontId="0" fillId="5" borderId="10" xfId="0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21" xfId="0" applyBorder="1"/>
    <xf numFmtId="0" fontId="9" fillId="5" borderId="10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wrapText="1"/>
    </xf>
    <xf numFmtId="0" fontId="0" fillId="5" borderId="10" xfId="0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0" fillId="5" borderId="19" xfId="0" applyFill="1" applyBorder="1" applyAlignment="1">
      <alignment wrapText="1"/>
    </xf>
    <xf numFmtId="0" fontId="0" fillId="5" borderId="19" xfId="0" applyFill="1" applyBorder="1" applyAlignment="1">
      <alignment horizontal="center" vertical="center" wrapText="1"/>
    </xf>
    <xf numFmtId="0" fontId="0" fillId="0" borderId="15" xfId="0" applyBorder="1"/>
    <xf numFmtId="0" fontId="0" fillId="0" borderId="12" xfId="0" applyBorder="1"/>
    <xf numFmtId="0" fontId="0" fillId="0" borderId="17" xfId="0" applyBorder="1"/>
  </cellXfs>
  <cellStyles count="1">
    <cellStyle name="Normal" xfId="0" builtinId="0"/>
  </cellStyles>
  <dxfs count="52">
    <dxf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dd/mm/yyyy\ hh:mm"/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/>
        <top style="medium">
          <color rgb="FFCCCCCC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 [$₹-4009]\ * #,##0.00_ ;_ [$₹-4009]\ * \-#,##0.00_ ;_ [$₹-4009]\ * &quot;-&quot;??_ ;_ @_ "/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 [$₹-4009]\ * #,##0.00_ ;_ [$₹-4009]\ * \-#,##0.00_ ;_ [$₹-4009]\ * &quot;-&quot;??_ ;_ @_ 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top style="medium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border>
        <top style="medium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2F4ED8-2C2B-49DA-B0E2-0887B3032AC0}" name="Table1" displayName="Table1" ref="A1:L21" totalsRowShown="0" headerRowDxfId="51" dataDxfId="49" headerRowBorderDxfId="50" tableBorderDxfId="48" totalsRowBorderDxfId="47">
  <autoFilter ref="A1:L21" xr:uid="{792F4ED8-2C2B-49DA-B0E2-0887B3032AC0}"/>
  <tableColumns count="12">
    <tableColumn id="1" xr3:uid="{EA24B879-5B3F-455B-BC5F-46F65D1350DA}" name="Student ID" dataDxfId="46"/>
    <tableColumn id="2" xr3:uid="{F78F0323-1BA0-439B-B77D-B450DA30EC5A}" name="Name" dataDxfId="45"/>
    <tableColumn id="3" xr3:uid="{A6518982-EDD8-4598-8980-66005B6EA4A8}" name="Math" dataDxfId="44"/>
    <tableColumn id="4" xr3:uid="{0D77B115-57CD-4267-B3AF-9782AA00B402}" name="Science" dataDxfId="43"/>
    <tableColumn id="5" xr3:uid="{03AD82D8-FB19-4771-951F-418A16108D7E}" name="English" dataDxfId="42"/>
    <tableColumn id="6" xr3:uid="{5DEA15C2-C950-4A9B-93BF-EB91C34D9E8B}" name="Enrollment Date" dataDxfId="41"/>
    <tableColumn id="11" xr3:uid="{1404551E-D570-4771-85E4-7EB545C9E669}" name="Date Of Birth" dataDxfId="12"/>
    <tableColumn id="12" xr3:uid="{B1337ADE-6256-40B0-ACD1-A9889E8CF6F0}" name="Current Age" dataDxfId="11">
      <calculatedColumnFormula>DATEDIF(G2,TODAY(),"y")</calculatedColumnFormula>
    </tableColumn>
    <tableColumn id="7" xr3:uid="{1784C76D-D9DD-43CF-AD56-6A1612433069}" name="Total Marks" dataDxfId="40">
      <calculatedColumnFormula>C2+D2+E2</calculatedColumnFormula>
    </tableColumn>
    <tableColumn id="8" xr3:uid="{87F10F04-FC2E-4859-997A-2318F77F80F5}" name="percentage" dataDxfId="39">
      <calculatedColumnFormula>$I2/300*100</calculatedColumnFormula>
    </tableColumn>
    <tableColumn id="9" xr3:uid="{9FED059C-AAC0-4284-9D2C-6F133F4303A4}" name="grade" dataDxfId="38">
      <calculatedColumnFormula>IF(J2&gt;90, "A", IF(J2&gt;80, "B", IF(J2&gt;70, "C", IF(J2&gt;60, "D", "F"))))</calculatedColumnFormula>
    </tableColumn>
    <tableColumn id="10" xr3:uid="{7C0EEA11-CB39-4234-A629-E38F9172CC6B}" name="score" dataDxfId="37">
      <calculatedColumnFormula>IF(AND(C2&gt;80, D2&gt; 80),"Above 80 ","Below 80")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06D506-2CFA-4EF5-A2D8-C27F62920C78}" name="Table2" displayName="Table2" ref="A1:I21" totalsRowShown="0" headerRowDxfId="36" dataDxfId="34" headerRowBorderDxfId="35" tableBorderDxfId="33" totalsRowBorderDxfId="32">
  <autoFilter ref="A1:I21" xr:uid="{ED06D506-2CFA-4EF5-A2D8-C27F62920C78}"/>
  <tableColumns count="9">
    <tableColumn id="1" xr3:uid="{2654A0E0-8094-4371-83F1-02DABD58A947}" name="Sales ID" dataDxfId="31"/>
    <tableColumn id="2" xr3:uid="{57A984A2-86D5-48FC-B7F2-5BA597529A8F}" name="Product" dataDxfId="30"/>
    <tableColumn id="9" xr3:uid="{A6452900-99EE-4027-B60B-4B68628B9195}" name="Product Code" dataDxfId="29"/>
    <tableColumn id="3" xr3:uid="{5B6D0085-99B2-4E64-94C6-B35E0BF166EF}" name="Region" dataDxfId="28"/>
    <tableColumn id="4" xr3:uid="{9F77229F-1955-4A0F-9569-0E10F9FC6F00}" name="Salesperson" dataDxfId="27"/>
    <tableColumn id="5" xr3:uid="{C8D50F56-00DB-41D2-A770-8AEF8F53C9EA}" name="Amount" dataDxfId="26"/>
    <tableColumn id="6" xr3:uid="{C877B78A-6521-4AFF-AFB9-FA34FDDA52A7}" name="Date" dataDxfId="25"/>
    <tableColumn id="7" xr3:uid="{CAB86170-04B2-46FD-A746-B8579A271C89}" name="Discount rate" dataDxfId="24">
      <calculatedColumnFormula>IF(F2&gt;40000,"50%",IF(F2&gt;30000,"30%",IF(F2&gt;20000,"20%","5%")))</calculatedColumnFormula>
    </tableColumn>
    <tableColumn id="8" xr3:uid="{2FA9205E-EF69-4B53-A44B-B0EA3CB5DD47}" name="Discount type" dataDxfId="23">
      <calculatedColumnFormula>IF(OR(F2&gt;7500,F2=7500),"Eligible","NOT Eligible")</calculatedColumnFormula>
    </tableColumn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93CEFC-44E6-44BA-8324-3A4413597C68}" name="Table3" displayName="Table3" ref="A1:F21" totalsRowShown="0" headerRowDxfId="22" dataDxfId="20" headerRowBorderDxfId="21" tableBorderDxfId="19" totalsRowBorderDxfId="18">
  <autoFilter ref="A1:F21" xr:uid="{7D93CEFC-44E6-44BA-8324-3A4413597C68}"/>
  <tableColumns count="6">
    <tableColumn id="1" xr3:uid="{EEE1488D-C444-4F5A-8AE7-FD7F5D4E4AAF}" name="Employee ID" dataDxfId="17"/>
    <tableColumn id="2" xr3:uid="{DE8B0CBE-FCAE-4C8E-B397-D4B993FF6611}" name="Name" dataDxfId="16"/>
    <tableColumn id="3" xr3:uid="{5BECCA34-195D-497F-AA69-F3AB06926A19}" name="Department" dataDxfId="15"/>
    <tableColumn id="4" xr3:uid="{E1872F6E-352D-4BA8-914C-63AF6696CB86}" name="Salary" dataDxfId="14"/>
    <tableColumn id="5" xr3:uid="{4CFC13F1-4D88-4850-A4B9-D01093F3F674}" name="Joining Date" dataDxfId="13"/>
    <tableColumn id="6" xr3:uid="{8AB416DB-7770-4FDF-B242-DF06C3C9E3D3}" name="working Days" dataDxfId="10">
      <calculatedColumnFormula>DATEDIF(E2, TODAY(), "d")</calculatedColumnFormula>
    </tableColumn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D11A12-D595-4399-9945-EECA17497DC2}" name="Table4" displayName="Table4" ref="A1:E5" totalsRowShown="0" headerRowDxfId="0" headerRowBorderDxfId="7" tableBorderDxfId="8" totalsRowBorderDxfId="6">
  <autoFilter ref="A1:E5" xr:uid="{11D11A12-D595-4399-9945-EECA17497DC2}"/>
  <tableColumns count="5">
    <tableColumn id="1" xr3:uid="{ECE1C4A4-64FB-4C1A-BFE4-57D00B52567B}" name="FULL NAME" dataDxfId="5"/>
    <tableColumn id="2" xr3:uid="{F36C79CE-1DB6-47BC-83E3-8218917C6625}" name="USE LEFT" dataDxfId="4">
      <calculatedColumnFormula>LEFT(A2, 5)</calculatedColumnFormula>
    </tableColumn>
    <tableColumn id="3" xr3:uid="{E555CD72-C3A6-4223-B245-E29256E582D4}" name="USE FIND" dataDxfId="3"/>
    <tableColumn id="4" xr3:uid="{6F404607-5464-45F1-819A-AA937F299E69}" name="UPPER" dataDxfId="2">
      <calculatedColumnFormula>UPPER(B2)</calculatedColumnFormula>
    </tableColumn>
    <tableColumn id="5" xr3:uid="{C7CCE6B1-6F03-4FA2-B7FF-84A9462BE94D}" name="LOWER" dataDxfId="1">
      <calculatedColumnFormula>LOWER(A2)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71DB2-B121-443A-8A5B-76D67C8316F6}">
  <dimension ref="A1:L34"/>
  <sheetViews>
    <sheetView tabSelected="1" zoomScale="97" zoomScaleNormal="113" workbookViewId="0">
      <selection activeCell="E30" sqref="E30"/>
    </sheetView>
  </sheetViews>
  <sheetFormatPr defaultRowHeight="14.4" x14ac:dyDescent="0.3"/>
  <cols>
    <col min="1" max="1" width="11.77734375" customWidth="1"/>
    <col min="2" max="2" width="15.6640625" customWidth="1"/>
    <col min="3" max="3" width="12.33203125" customWidth="1"/>
    <col min="4" max="5" width="13.21875" customWidth="1"/>
    <col min="6" max="6" width="20.33203125" customWidth="1"/>
    <col min="7" max="7" width="15.77734375" customWidth="1"/>
    <col min="8" max="8" width="14.6640625" style="53" customWidth="1"/>
    <col min="9" max="9" width="14.77734375" customWidth="1"/>
    <col min="10" max="10" width="12.88671875" customWidth="1"/>
    <col min="11" max="13" width="14.21875" customWidth="1"/>
  </cols>
  <sheetData>
    <row r="1" spans="1:12" ht="24" customHeight="1" thickBot="1" x14ac:dyDescent="0.3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47" t="s">
        <v>137</v>
      </c>
      <c r="H1" s="50" t="s">
        <v>138</v>
      </c>
      <c r="I1" s="14" t="s">
        <v>89</v>
      </c>
      <c r="J1" s="15" t="s">
        <v>90</v>
      </c>
      <c r="K1" s="14" t="s">
        <v>91</v>
      </c>
      <c r="L1" s="14" t="s">
        <v>93</v>
      </c>
    </row>
    <row r="2" spans="1:12" ht="24" customHeight="1" thickBot="1" x14ac:dyDescent="0.35">
      <c r="A2" s="16">
        <v>1001</v>
      </c>
      <c r="B2" s="17" t="s">
        <v>6</v>
      </c>
      <c r="C2" s="17">
        <v>61</v>
      </c>
      <c r="D2" s="17">
        <v>48</v>
      </c>
      <c r="E2" s="17">
        <v>76</v>
      </c>
      <c r="F2" s="18">
        <v>43101</v>
      </c>
      <c r="G2" s="48">
        <v>37268</v>
      </c>
      <c r="H2" s="51">
        <f ca="1">DATEDIF(G2,TODAY(),"y")</f>
        <v>24</v>
      </c>
      <c r="I2" s="17">
        <f>C2+D2+E2</f>
        <v>185</v>
      </c>
      <c r="J2" s="19">
        <f t="shared" ref="J2:J20" si="0">$I2/300*100</f>
        <v>61.666666666666671</v>
      </c>
      <c r="K2" s="25" t="str">
        <f t="shared" ref="K2:K21" si="1">IF(J2&gt;90, "A", IF(J2&gt;80, "B", IF(J2&gt;70, "C", IF(J2&gt;60, "D", "F"))))</f>
        <v>D</v>
      </c>
      <c r="L2" s="25" t="str">
        <f>IF(AND(C2&gt;80, D2&gt; 80),"Above 80 ","Below 80")</f>
        <v>Below 80</v>
      </c>
    </row>
    <row r="3" spans="1:12" ht="24" customHeight="1" thickBot="1" x14ac:dyDescent="0.35">
      <c r="A3" s="16">
        <v>1002</v>
      </c>
      <c r="B3" s="17" t="s">
        <v>7</v>
      </c>
      <c r="C3" s="17">
        <v>78</v>
      </c>
      <c r="D3" s="17">
        <v>76</v>
      </c>
      <c r="E3" s="17">
        <v>70</v>
      </c>
      <c r="F3" s="18">
        <v>43281</v>
      </c>
      <c r="G3" s="48">
        <v>37677</v>
      </c>
      <c r="H3" s="51">
        <f t="shared" ref="H3:H21" ca="1" si="2">DATEDIF(G3,TODAY(),"y")</f>
        <v>23</v>
      </c>
      <c r="I3" s="17">
        <f>C3+D3+E3</f>
        <v>224</v>
      </c>
      <c r="J3" s="19">
        <f t="shared" si="0"/>
        <v>74.666666666666671</v>
      </c>
      <c r="K3" s="19" t="str">
        <f t="shared" si="1"/>
        <v>C</v>
      </c>
      <c r="L3" s="19" t="str">
        <f t="shared" ref="L3:L21" si="3">IF(AND(C3&gt;80, D3&gt; 80),"Above 80 ","Below 80")</f>
        <v>Below 80</v>
      </c>
    </row>
    <row r="4" spans="1:12" ht="24" customHeight="1" thickBot="1" x14ac:dyDescent="0.35">
      <c r="A4" s="16">
        <v>1003</v>
      </c>
      <c r="B4" s="17" t="s">
        <v>8</v>
      </c>
      <c r="C4" s="17">
        <v>97</v>
      </c>
      <c r="D4" s="17">
        <v>60</v>
      </c>
      <c r="E4" s="17">
        <v>51</v>
      </c>
      <c r="F4" s="18">
        <v>43461</v>
      </c>
      <c r="G4" s="48">
        <v>36953</v>
      </c>
      <c r="H4" s="51">
        <f t="shared" ca="1" si="2"/>
        <v>25</v>
      </c>
      <c r="I4" s="17">
        <f>C4+D4+E4</f>
        <v>208</v>
      </c>
      <c r="J4" s="19">
        <f t="shared" si="0"/>
        <v>69.333333333333343</v>
      </c>
      <c r="K4" s="19" t="str">
        <f t="shared" si="1"/>
        <v>D</v>
      </c>
      <c r="L4" s="19" t="str">
        <f t="shared" si="3"/>
        <v>Below 80</v>
      </c>
    </row>
    <row r="5" spans="1:12" ht="24" customHeight="1" thickBot="1" x14ac:dyDescent="0.35">
      <c r="A5" s="16">
        <v>1004</v>
      </c>
      <c r="B5" s="17" t="s">
        <v>9</v>
      </c>
      <c r="C5" s="17">
        <v>74</v>
      </c>
      <c r="D5" s="17">
        <v>55</v>
      </c>
      <c r="E5" s="17">
        <v>46</v>
      </c>
      <c r="F5" s="18">
        <v>43641</v>
      </c>
      <c r="G5" s="48">
        <v>38095</v>
      </c>
      <c r="H5" s="51">
        <f t="shared" ca="1" si="2"/>
        <v>21</v>
      </c>
      <c r="I5" s="17">
        <f>C5+D5+E5</f>
        <v>175</v>
      </c>
      <c r="J5" s="19">
        <f t="shared" si="0"/>
        <v>58.333333333333336</v>
      </c>
      <c r="K5" s="19" t="str">
        <f t="shared" si="1"/>
        <v>F</v>
      </c>
      <c r="L5" s="19" t="str">
        <f t="shared" si="3"/>
        <v>Below 80</v>
      </c>
    </row>
    <row r="6" spans="1:12" ht="24" customHeight="1" thickBot="1" x14ac:dyDescent="0.35">
      <c r="A6" s="16">
        <v>1005</v>
      </c>
      <c r="B6" s="17" t="s">
        <v>10</v>
      </c>
      <c r="C6" s="17">
        <v>68</v>
      </c>
      <c r="D6" s="17">
        <v>74</v>
      </c>
      <c r="E6" s="17">
        <v>84</v>
      </c>
      <c r="F6" s="18">
        <v>43821</v>
      </c>
      <c r="G6" s="48">
        <v>37383</v>
      </c>
      <c r="H6" s="51">
        <f t="shared" ca="1" si="2"/>
        <v>23</v>
      </c>
      <c r="I6" s="17">
        <f>C6+D6+E6</f>
        <v>226</v>
      </c>
      <c r="J6" s="19">
        <f t="shared" si="0"/>
        <v>75.333333333333329</v>
      </c>
      <c r="K6" s="19" t="str">
        <f t="shared" si="1"/>
        <v>C</v>
      </c>
      <c r="L6" s="19" t="str">
        <f t="shared" si="3"/>
        <v>Below 80</v>
      </c>
    </row>
    <row r="7" spans="1:12" ht="24" customHeight="1" thickBot="1" x14ac:dyDescent="0.35">
      <c r="A7" s="16">
        <v>1006</v>
      </c>
      <c r="B7" s="17" t="s">
        <v>11</v>
      </c>
      <c r="C7" s="17">
        <v>80</v>
      </c>
      <c r="D7" s="17">
        <v>70</v>
      </c>
      <c r="E7" s="17">
        <v>65</v>
      </c>
      <c r="F7" s="18">
        <v>44001</v>
      </c>
      <c r="G7" s="48">
        <v>38532</v>
      </c>
      <c r="H7" s="51">
        <f t="shared" ca="1" si="2"/>
        <v>20</v>
      </c>
      <c r="I7" s="17">
        <f>C7+D7+E7</f>
        <v>215</v>
      </c>
      <c r="J7" s="19">
        <f t="shared" si="0"/>
        <v>71.666666666666671</v>
      </c>
      <c r="K7" s="19" t="str">
        <f t="shared" si="1"/>
        <v>C</v>
      </c>
      <c r="L7" s="19" t="str">
        <f t="shared" si="3"/>
        <v>Below 80</v>
      </c>
    </row>
    <row r="8" spans="1:12" ht="24" customHeight="1" thickBot="1" x14ac:dyDescent="0.35">
      <c r="A8" s="16">
        <v>1007</v>
      </c>
      <c r="B8" s="17" t="s">
        <v>12</v>
      </c>
      <c r="C8" s="17">
        <v>75</v>
      </c>
      <c r="D8" s="17">
        <v>47</v>
      </c>
      <c r="E8" s="17">
        <v>78</v>
      </c>
      <c r="F8" s="18">
        <v>44181</v>
      </c>
      <c r="G8" s="48">
        <v>37086</v>
      </c>
      <c r="H8" s="51">
        <f t="shared" ca="1" si="2"/>
        <v>24</v>
      </c>
      <c r="I8" s="17">
        <f>C8+D8+E8</f>
        <v>200</v>
      </c>
      <c r="J8" s="19">
        <f t="shared" si="0"/>
        <v>66.666666666666657</v>
      </c>
      <c r="K8" s="19" t="str">
        <f t="shared" si="1"/>
        <v>D</v>
      </c>
      <c r="L8" s="19" t="str">
        <f t="shared" si="3"/>
        <v>Below 80</v>
      </c>
    </row>
    <row r="9" spans="1:12" ht="24" customHeight="1" thickBot="1" x14ac:dyDescent="0.35">
      <c r="A9" s="16">
        <v>1008</v>
      </c>
      <c r="B9" s="17" t="s">
        <v>13</v>
      </c>
      <c r="C9" s="17">
        <v>94</v>
      </c>
      <c r="D9" s="17">
        <v>67</v>
      </c>
      <c r="E9" s="17">
        <v>64</v>
      </c>
      <c r="F9" s="18">
        <v>44361</v>
      </c>
      <c r="G9" s="48">
        <v>37855</v>
      </c>
      <c r="H9" s="51">
        <f t="shared" ca="1" si="2"/>
        <v>22</v>
      </c>
      <c r="I9" s="17">
        <f>C9+D9+E9</f>
        <v>225</v>
      </c>
      <c r="J9" s="19">
        <f t="shared" si="0"/>
        <v>75</v>
      </c>
      <c r="K9" s="19" t="str">
        <f t="shared" si="1"/>
        <v>C</v>
      </c>
      <c r="L9" s="19" t="str">
        <f t="shared" si="3"/>
        <v>Below 80</v>
      </c>
    </row>
    <row r="10" spans="1:12" ht="24" customHeight="1" thickBot="1" x14ac:dyDescent="0.35">
      <c r="A10" s="16">
        <v>1009</v>
      </c>
      <c r="B10" s="17" t="s">
        <v>14</v>
      </c>
      <c r="C10" s="17">
        <v>41</v>
      </c>
      <c r="D10" s="17">
        <v>75</v>
      </c>
      <c r="E10" s="17">
        <v>56</v>
      </c>
      <c r="F10" s="18">
        <v>44541</v>
      </c>
      <c r="G10" s="48">
        <v>37508</v>
      </c>
      <c r="H10" s="51">
        <f t="shared" ca="1" si="2"/>
        <v>23</v>
      </c>
      <c r="I10" s="17">
        <f>C10+D10+E10</f>
        <v>172</v>
      </c>
      <c r="J10" s="19">
        <f t="shared" si="0"/>
        <v>57.333333333333336</v>
      </c>
      <c r="K10" s="19" t="str">
        <f t="shared" si="1"/>
        <v>F</v>
      </c>
      <c r="L10" s="19" t="str">
        <f t="shared" si="3"/>
        <v>Below 80</v>
      </c>
    </row>
    <row r="11" spans="1:12" ht="24" customHeight="1" thickBot="1" x14ac:dyDescent="0.35">
      <c r="A11" s="16">
        <v>1010</v>
      </c>
      <c r="B11" s="17" t="s">
        <v>15</v>
      </c>
      <c r="C11" s="17">
        <v>98</v>
      </c>
      <c r="D11" s="17">
        <v>54</v>
      </c>
      <c r="E11" s="17">
        <v>58</v>
      </c>
      <c r="F11" s="18">
        <v>44721</v>
      </c>
      <c r="G11" s="48">
        <v>38290</v>
      </c>
      <c r="H11" s="51">
        <f t="shared" ca="1" si="2"/>
        <v>21</v>
      </c>
      <c r="I11" s="17">
        <f>C11+D11+E11</f>
        <v>210</v>
      </c>
      <c r="J11" s="19">
        <f t="shared" si="0"/>
        <v>70</v>
      </c>
      <c r="K11" s="19" t="str">
        <f t="shared" si="1"/>
        <v>D</v>
      </c>
      <c r="L11" s="19" t="str">
        <f t="shared" si="3"/>
        <v>Below 80</v>
      </c>
    </row>
    <row r="12" spans="1:12" ht="24" customHeight="1" thickBot="1" x14ac:dyDescent="0.35">
      <c r="A12" s="16">
        <v>1011</v>
      </c>
      <c r="B12" s="17" t="s">
        <v>16</v>
      </c>
      <c r="C12" s="17">
        <v>73</v>
      </c>
      <c r="D12" s="17">
        <v>79</v>
      </c>
      <c r="E12" s="17">
        <v>53</v>
      </c>
      <c r="F12" s="18">
        <v>44901</v>
      </c>
      <c r="G12" s="48">
        <v>37206</v>
      </c>
      <c r="H12" s="51">
        <f t="shared" ca="1" si="2"/>
        <v>24</v>
      </c>
      <c r="I12" s="17">
        <f>C12+D12+E12</f>
        <v>205</v>
      </c>
      <c r="J12" s="19">
        <f t="shared" si="0"/>
        <v>68.333333333333329</v>
      </c>
      <c r="K12" s="19" t="str">
        <f t="shared" si="1"/>
        <v>D</v>
      </c>
      <c r="L12" s="19" t="str">
        <f t="shared" si="3"/>
        <v>Below 80</v>
      </c>
    </row>
    <row r="13" spans="1:12" ht="24" customHeight="1" thickBot="1" x14ac:dyDescent="0.35">
      <c r="A13" s="16">
        <v>1012</v>
      </c>
      <c r="B13" s="17" t="s">
        <v>17</v>
      </c>
      <c r="C13" s="17">
        <v>85</v>
      </c>
      <c r="D13" s="17">
        <v>89</v>
      </c>
      <c r="E13" s="17">
        <v>79</v>
      </c>
      <c r="F13" s="18">
        <v>45081</v>
      </c>
      <c r="G13" s="48">
        <v>37982</v>
      </c>
      <c r="H13" s="51">
        <f t="shared" ca="1" si="2"/>
        <v>22</v>
      </c>
      <c r="I13" s="17">
        <f>C13+D13+E13</f>
        <v>253</v>
      </c>
      <c r="J13" s="19">
        <f t="shared" si="0"/>
        <v>84.333333333333343</v>
      </c>
      <c r="K13" s="19" t="str">
        <f t="shared" si="1"/>
        <v>B</v>
      </c>
      <c r="L13" s="19" t="str">
        <f t="shared" si="3"/>
        <v xml:space="preserve">Above 80 </v>
      </c>
    </row>
    <row r="14" spans="1:12" ht="24" customHeight="1" thickBot="1" x14ac:dyDescent="0.35">
      <c r="A14" s="16">
        <v>1013</v>
      </c>
      <c r="B14" s="17" t="s">
        <v>18</v>
      </c>
      <c r="C14" s="17">
        <v>98</v>
      </c>
      <c r="D14" s="17">
        <v>90</v>
      </c>
      <c r="E14" s="17">
        <v>97</v>
      </c>
      <c r="F14" s="18">
        <v>45261</v>
      </c>
      <c r="G14" s="48">
        <v>38357</v>
      </c>
      <c r="H14" s="51">
        <f t="shared" ca="1" si="2"/>
        <v>21</v>
      </c>
      <c r="I14" s="17">
        <f>C14+D14+E14</f>
        <v>285</v>
      </c>
      <c r="J14" s="19">
        <f t="shared" si="0"/>
        <v>95</v>
      </c>
      <c r="K14" s="19" t="str">
        <f t="shared" si="1"/>
        <v>A</v>
      </c>
      <c r="L14" s="19" t="str">
        <f t="shared" si="3"/>
        <v xml:space="preserve">Above 80 </v>
      </c>
    </row>
    <row r="15" spans="1:12" ht="24" customHeight="1" thickBot="1" x14ac:dyDescent="0.35">
      <c r="A15" s="16">
        <v>1014</v>
      </c>
      <c r="B15" s="17" t="s">
        <v>19</v>
      </c>
      <c r="C15" s="17">
        <v>93</v>
      </c>
      <c r="D15" s="17">
        <v>40</v>
      </c>
      <c r="E15" s="17">
        <v>44</v>
      </c>
      <c r="F15" s="18">
        <v>45441</v>
      </c>
      <c r="G15" s="48">
        <v>37303</v>
      </c>
      <c r="H15" s="51">
        <f t="shared" ca="1" si="2"/>
        <v>24</v>
      </c>
      <c r="I15" s="17">
        <f>C15+D15+E15</f>
        <v>177</v>
      </c>
      <c r="J15" s="19">
        <f t="shared" si="0"/>
        <v>59</v>
      </c>
      <c r="K15" s="19" t="str">
        <f t="shared" si="1"/>
        <v>F</v>
      </c>
      <c r="L15" s="19" t="str">
        <f t="shared" si="3"/>
        <v>Below 80</v>
      </c>
    </row>
    <row r="16" spans="1:12" ht="24" customHeight="1" thickBot="1" x14ac:dyDescent="0.35">
      <c r="A16" s="16">
        <v>1015</v>
      </c>
      <c r="B16" s="17" t="s">
        <v>20</v>
      </c>
      <c r="C16" s="17">
        <v>70</v>
      </c>
      <c r="D16" s="17">
        <v>51</v>
      </c>
      <c r="E16" s="17">
        <v>75</v>
      </c>
      <c r="F16" s="18">
        <v>45621</v>
      </c>
      <c r="G16" s="48">
        <v>38067</v>
      </c>
      <c r="H16" s="51">
        <f t="shared" ca="1" si="2"/>
        <v>21</v>
      </c>
      <c r="I16" s="17">
        <f>C16+D16+E16</f>
        <v>196</v>
      </c>
      <c r="J16" s="19">
        <f t="shared" si="0"/>
        <v>65.333333333333329</v>
      </c>
      <c r="K16" s="19" t="str">
        <f t="shared" si="1"/>
        <v>D</v>
      </c>
      <c r="L16" s="19" t="str">
        <f t="shared" si="3"/>
        <v>Below 80</v>
      </c>
    </row>
    <row r="17" spans="1:12" ht="24" customHeight="1" thickBot="1" x14ac:dyDescent="0.35">
      <c r="A17" s="16">
        <v>1016</v>
      </c>
      <c r="B17" s="17" t="s">
        <v>21</v>
      </c>
      <c r="C17" s="17">
        <v>98</v>
      </c>
      <c r="D17" s="17">
        <v>77</v>
      </c>
      <c r="E17" s="17">
        <v>60</v>
      </c>
      <c r="F17" s="18">
        <v>45801</v>
      </c>
      <c r="G17" s="48">
        <v>36989</v>
      </c>
      <c r="H17" s="51">
        <f t="shared" ca="1" si="2"/>
        <v>24</v>
      </c>
      <c r="I17" s="17">
        <f>C17+D17+E17</f>
        <v>235</v>
      </c>
      <c r="J17" s="19">
        <f t="shared" si="0"/>
        <v>78.333333333333329</v>
      </c>
      <c r="K17" s="19" t="str">
        <f t="shared" si="1"/>
        <v>C</v>
      </c>
      <c r="L17" s="19" t="str">
        <f t="shared" si="3"/>
        <v>Below 80</v>
      </c>
    </row>
    <row r="18" spans="1:12" ht="24" customHeight="1" thickBot="1" x14ac:dyDescent="0.35">
      <c r="A18" s="16">
        <v>1017</v>
      </c>
      <c r="B18" s="17" t="s">
        <v>22</v>
      </c>
      <c r="C18" s="17">
        <v>66</v>
      </c>
      <c r="D18" s="17">
        <v>59</v>
      </c>
      <c r="E18" s="17">
        <v>40</v>
      </c>
      <c r="F18" s="18">
        <v>45981</v>
      </c>
      <c r="G18" s="48">
        <v>37760</v>
      </c>
      <c r="H18" s="51">
        <f t="shared" ca="1" si="2"/>
        <v>22</v>
      </c>
      <c r="I18" s="17">
        <f>C18+D18+E18</f>
        <v>165</v>
      </c>
      <c r="J18" s="19">
        <f t="shared" si="0"/>
        <v>55.000000000000007</v>
      </c>
      <c r="K18" s="19" t="str">
        <f t="shared" si="1"/>
        <v>F</v>
      </c>
      <c r="L18" s="19" t="str">
        <f t="shared" si="3"/>
        <v>Below 80</v>
      </c>
    </row>
    <row r="19" spans="1:12" ht="24" customHeight="1" thickBot="1" x14ac:dyDescent="0.35">
      <c r="A19" s="16">
        <v>1018</v>
      </c>
      <c r="B19" s="17" t="s">
        <v>23</v>
      </c>
      <c r="C19" s="17">
        <v>82</v>
      </c>
      <c r="D19" s="17">
        <v>48</v>
      </c>
      <c r="E19" s="17">
        <v>79</v>
      </c>
      <c r="F19" s="18">
        <v>46161</v>
      </c>
      <c r="G19" s="48">
        <v>37431</v>
      </c>
      <c r="H19" s="51">
        <f t="shared" ca="1" si="2"/>
        <v>23</v>
      </c>
      <c r="I19" s="17">
        <f>C19+D19+E19</f>
        <v>209</v>
      </c>
      <c r="J19" s="19">
        <f t="shared" si="0"/>
        <v>69.666666666666671</v>
      </c>
      <c r="K19" s="19" t="str">
        <f t="shared" si="1"/>
        <v>D</v>
      </c>
      <c r="L19" s="19" t="str">
        <f t="shared" si="3"/>
        <v>Below 80</v>
      </c>
    </row>
    <row r="20" spans="1:12" ht="24" customHeight="1" thickBot="1" x14ac:dyDescent="0.35">
      <c r="A20" s="16">
        <v>1019</v>
      </c>
      <c r="B20" s="17" t="s">
        <v>24</v>
      </c>
      <c r="C20" s="17">
        <v>90</v>
      </c>
      <c r="D20" s="17">
        <v>78</v>
      </c>
      <c r="E20" s="17">
        <v>60</v>
      </c>
      <c r="F20" s="18">
        <v>46341</v>
      </c>
      <c r="G20" s="48">
        <v>38535</v>
      </c>
      <c r="H20" s="51">
        <f t="shared" ca="1" si="2"/>
        <v>20</v>
      </c>
      <c r="I20" s="17">
        <f>C20+D20+E20</f>
        <v>228</v>
      </c>
      <c r="J20" s="19">
        <f t="shared" si="0"/>
        <v>76</v>
      </c>
      <c r="K20" s="19" t="str">
        <f t="shared" si="1"/>
        <v>C</v>
      </c>
      <c r="L20" s="19" t="str">
        <f t="shared" si="3"/>
        <v>Below 80</v>
      </c>
    </row>
    <row r="21" spans="1:12" ht="24" customHeight="1" x14ac:dyDescent="0.3">
      <c r="A21" s="20">
        <v>1020</v>
      </c>
      <c r="B21" s="21" t="s">
        <v>25</v>
      </c>
      <c r="C21" s="21">
        <v>83</v>
      </c>
      <c r="D21" s="21">
        <v>92</v>
      </c>
      <c r="E21" s="21">
        <v>55</v>
      </c>
      <c r="F21" s="22">
        <v>46521</v>
      </c>
      <c r="G21" s="49">
        <v>37116</v>
      </c>
      <c r="H21" s="52">
        <f t="shared" ca="1" si="2"/>
        <v>24</v>
      </c>
      <c r="I21" s="21">
        <f>C21+D21+E21</f>
        <v>230</v>
      </c>
      <c r="J21" s="23">
        <f>$I21/300*100</f>
        <v>76.666666666666671</v>
      </c>
      <c r="K21" s="23" t="str">
        <f t="shared" si="1"/>
        <v>C</v>
      </c>
      <c r="L21" s="23" t="str">
        <f t="shared" si="3"/>
        <v xml:space="preserve">Above 80 </v>
      </c>
    </row>
    <row r="23" spans="1:12" ht="15" thickBot="1" x14ac:dyDescent="0.35"/>
    <row r="24" spans="1:12" s="35" customFormat="1" ht="73.8" customHeight="1" thickBot="1" x14ac:dyDescent="0.35">
      <c r="B24" s="66" t="s">
        <v>96</v>
      </c>
      <c r="C24" s="37">
        <f>COUNTIFS(C2:C21, "&gt;50")</f>
        <v>19</v>
      </c>
      <c r="E24" s="65" t="s">
        <v>97</v>
      </c>
      <c r="F24" s="37">
        <f>AVERAGEIFS(I2:I21, C2:C21, "&gt;60", D2:D21, "&gt;60", E2:E21, "&gt;60")</f>
        <v>238</v>
      </c>
      <c r="H24" s="54"/>
    </row>
    <row r="26" spans="1:12" ht="15" thickBot="1" x14ac:dyDescent="0.35"/>
    <row r="27" spans="1:12" ht="43.8" thickBot="1" x14ac:dyDescent="0.35">
      <c r="B27" s="67" t="s">
        <v>98</v>
      </c>
      <c r="C27" s="38" t="str">
        <f>VLOOKUP(1006, Table1[], 2)</f>
        <v>Student 6</v>
      </c>
      <c r="F27" s="64" t="s">
        <v>144</v>
      </c>
    </row>
    <row r="28" spans="1:12" ht="15" thickBot="1" x14ac:dyDescent="0.35">
      <c r="F28" s="63"/>
    </row>
    <row r="29" spans="1:12" ht="15" thickBot="1" x14ac:dyDescent="0.35">
      <c r="F29" s="62" t="str" cm="1">
        <f t="array" ref="F29:F34">_xlfn._xlws.FILTER(B2:B21, I2:I21 &gt; 225, "No Top Performers")</f>
        <v>Student 5</v>
      </c>
    </row>
    <row r="30" spans="1:12" ht="15" thickBot="1" x14ac:dyDescent="0.35">
      <c r="F30" s="62" t="str">
        <v>Student 12</v>
      </c>
    </row>
    <row r="31" spans="1:12" ht="15" thickBot="1" x14ac:dyDescent="0.35">
      <c r="F31" s="62" t="str">
        <v>Student 13</v>
      </c>
    </row>
    <row r="32" spans="1:12" ht="15" thickBot="1" x14ac:dyDescent="0.35">
      <c r="F32" s="62" t="str">
        <v>Student 16</v>
      </c>
    </row>
    <row r="33" spans="6:6" ht="15" thickBot="1" x14ac:dyDescent="0.35">
      <c r="F33" s="62" t="str">
        <v>Student 19</v>
      </c>
    </row>
    <row r="34" spans="6:6" ht="15" thickBot="1" x14ac:dyDescent="0.35">
      <c r="F34" s="62" t="str">
        <v>Student 20</v>
      </c>
    </row>
  </sheetData>
  <conditionalFormatting sqref="F29">
    <cfRule type="duplicateValues" dxfId="9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48B06-32E0-4F18-862E-B5F1FF3B7FE3}">
  <dimension ref="A1:I35"/>
  <sheetViews>
    <sheetView topLeftCell="A19" zoomScale="93" workbookViewId="0">
      <selection activeCell="B27" sqref="B27"/>
    </sheetView>
  </sheetViews>
  <sheetFormatPr defaultRowHeight="14.4" x14ac:dyDescent="0.3"/>
  <cols>
    <col min="1" max="1" width="16" customWidth="1"/>
    <col min="2" max="2" width="16.44140625" customWidth="1"/>
    <col min="3" max="5" width="16" customWidth="1"/>
    <col min="6" max="6" width="19.77734375" customWidth="1"/>
    <col min="7" max="7" width="16" customWidth="1"/>
    <col min="8" max="8" width="12.6640625" customWidth="1"/>
  </cols>
  <sheetData>
    <row r="1" spans="1:9" ht="30.6" customHeight="1" thickBot="1" x14ac:dyDescent="0.35">
      <c r="A1" s="26" t="s">
        <v>26</v>
      </c>
      <c r="B1" s="27" t="s">
        <v>27</v>
      </c>
      <c r="C1" s="27" t="s">
        <v>99</v>
      </c>
      <c r="D1" s="27" t="s">
        <v>28</v>
      </c>
      <c r="E1" s="27" t="s">
        <v>29</v>
      </c>
      <c r="F1" s="28" t="s">
        <v>30</v>
      </c>
      <c r="G1" s="29" t="s">
        <v>31</v>
      </c>
      <c r="H1" s="27" t="s">
        <v>92</v>
      </c>
      <c r="I1" s="27" t="s">
        <v>94</v>
      </c>
    </row>
    <row r="2" spans="1:9" ht="30.6" customHeight="1" thickBot="1" x14ac:dyDescent="0.35">
      <c r="A2" s="16">
        <v>2001</v>
      </c>
      <c r="B2" s="17" t="s">
        <v>32</v>
      </c>
      <c r="C2" s="17" t="s">
        <v>100</v>
      </c>
      <c r="D2" s="17" t="s">
        <v>33</v>
      </c>
      <c r="E2" s="17" t="s">
        <v>34</v>
      </c>
      <c r="F2" s="30">
        <v>7048</v>
      </c>
      <c r="G2" s="31">
        <v>44927</v>
      </c>
      <c r="H2" s="34" t="str">
        <f t="shared" ref="H2:H21" si="0">IF(F2&gt;40000,"50%",IF(F2&gt;30000,"30%",IF(F2&gt;20000,"20%","5%")))</f>
        <v>5%</v>
      </c>
      <c r="I2" s="34" t="str">
        <f t="shared" ref="I2:I21" si="1">IF(OR(F2&gt;7500,F2=7500),"Eligible","NOT Eligible")</f>
        <v>NOT Eligible</v>
      </c>
    </row>
    <row r="3" spans="1:9" ht="30.6" customHeight="1" thickBot="1" x14ac:dyDescent="0.35">
      <c r="A3" s="16">
        <v>2002</v>
      </c>
      <c r="B3" s="17" t="s">
        <v>35</v>
      </c>
      <c r="C3" s="17" t="s">
        <v>101</v>
      </c>
      <c r="D3" s="17" t="s">
        <v>36</v>
      </c>
      <c r="E3" s="17" t="s">
        <v>37</v>
      </c>
      <c r="F3" s="30">
        <v>17428</v>
      </c>
      <c r="G3" s="31">
        <v>44942</v>
      </c>
      <c r="H3" s="18" t="str">
        <f t="shared" si="0"/>
        <v>5%</v>
      </c>
      <c r="I3" s="18" t="str">
        <f t="shared" si="1"/>
        <v>Eligible</v>
      </c>
    </row>
    <row r="4" spans="1:9" ht="30.6" customHeight="1" thickBot="1" x14ac:dyDescent="0.35">
      <c r="A4" s="16">
        <v>2003</v>
      </c>
      <c r="B4" s="17" t="s">
        <v>38</v>
      </c>
      <c r="C4" s="17" t="s">
        <v>102</v>
      </c>
      <c r="D4" s="17" t="s">
        <v>33</v>
      </c>
      <c r="E4" s="17" t="s">
        <v>39</v>
      </c>
      <c r="F4" s="30">
        <v>23672</v>
      </c>
      <c r="G4" s="31">
        <v>44957</v>
      </c>
      <c r="H4" s="18" t="str">
        <f t="shared" si="0"/>
        <v>20%</v>
      </c>
      <c r="I4" s="18" t="str">
        <f t="shared" si="1"/>
        <v>Eligible</v>
      </c>
    </row>
    <row r="5" spans="1:9" ht="30.6" customHeight="1" thickBot="1" x14ac:dyDescent="0.35">
      <c r="A5" s="16">
        <v>2004</v>
      </c>
      <c r="B5" s="17" t="s">
        <v>35</v>
      </c>
      <c r="C5" s="17" t="s">
        <v>103</v>
      </c>
      <c r="D5" s="17" t="s">
        <v>40</v>
      </c>
      <c r="E5" s="17" t="s">
        <v>41</v>
      </c>
      <c r="F5" s="30">
        <v>5264</v>
      </c>
      <c r="G5" s="31">
        <v>44972</v>
      </c>
      <c r="H5" s="18" t="str">
        <f t="shared" si="0"/>
        <v>5%</v>
      </c>
      <c r="I5" s="18" t="str">
        <f t="shared" si="1"/>
        <v>NOT Eligible</v>
      </c>
    </row>
    <row r="6" spans="1:9" ht="30.6" customHeight="1" thickBot="1" x14ac:dyDescent="0.35">
      <c r="A6" s="16">
        <v>2005</v>
      </c>
      <c r="B6" s="17" t="s">
        <v>32</v>
      </c>
      <c r="C6" s="17" t="s">
        <v>104</v>
      </c>
      <c r="D6" s="17" t="s">
        <v>42</v>
      </c>
      <c r="E6" s="17" t="s">
        <v>43</v>
      </c>
      <c r="F6" s="30">
        <v>43388</v>
      </c>
      <c r="G6" s="31">
        <v>44987</v>
      </c>
      <c r="H6" s="18" t="str">
        <f t="shared" si="0"/>
        <v>50%</v>
      </c>
      <c r="I6" s="18" t="str">
        <f t="shared" si="1"/>
        <v>Eligible</v>
      </c>
    </row>
    <row r="7" spans="1:9" ht="30.6" customHeight="1" thickBot="1" x14ac:dyDescent="0.35">
      <c r="A7" s="16">
        <v>2006</v>
      </c>
      <c r="B7" s="17" t="s">
        <v>38</v>
      </c>
      <c r="C7" s="17" t="s">
        <v>105</v>
      </c>
      <c r="D7" s="17" t="s">
        <v>42</v>
      </c>
      <c r="E7" s="17" t="s">
        <v>44</v>
      </c>
      <c r="F7" s="30">
        <v>19757</v>
      </c>
      <c r="G7" s="31">
        <v>45002</v>
      </c>
      <c r="H7" s="18" t="str">
        <f t="shared" si="0"/>
        <v>5%</v>
      </c>
      <c r="I7" s="18" t="str">
        <f t="shared" si="1"/>
        <v>Eligible</v>
      </c>
    </row>
    <row r="8" spans="1:9" ht="30.6" customHeight="1" thickBot="1" x14ac:dyDescent="0.35">
      <c r="A8" s="16">
        <v>2007</v>
      </c>
      <c r="B8" s="17" t="s">
        <v>38</v>
      </c>
      <c r="C8" s="17" t="s">
        <v>106</v>
      </c>
      <c r="D8" s="17" t="s">
        <v>40</v>
      </c>
      <c r="E8" s="17" t="s">
        <v>45</v>
      </c>
      <c r="F8" s="30">
        <v>32058</v>
      </c>
      <c r="G8" s="31">
        <v>45017</v>
      </c>
      <c r="H8" s="18" t="str">
        <f t="shared" si="0"/>
        <v>30%</v>
      </c>
      <c r="I8" s="18" t="str">
        <f t="shared" si="1"/>
        <v>Eligible</v>
      </c>
    </row>
    <row r="9" spans="1:9" ht="30.6" customHeight="1" thickBot="1" x14ac:dyDescent="0.35">
      <c r="A9" s="16">
        <v>2008</v>
      </c>
      <c r="B9" s="17" t="s">
        <v>32</v>
      </c>
      <c r="C9" s="17" t="s">
        <v>107</v>
      </c>
      <c r="D9" s="17" t="s">
        <v>40</v>
      </c>
      <c r="E9" s="17" t="s">
        <v>46</v>
      </c>
      <c r="F9" s="30">
        <v>46429</v>
      </c>
      <c r="G9" s="31">
        <v>45032</v>
      </c>
      <c r="H9" s="18" t="str">
        <f t="shared" si="0"/>
        <v>50%</v>
      </c>
      <c r="I9" s="18" t="str">
        <f t="shared" si="1"/>
        <v>Eligible</v>
      </c>
    </row>
    <row r="10" spans="1:9" ht="30.6" customHeight="1" thickBot="1" x14ac:dyDescent="0.35">
      <c r="A10" s="16">
        <v>2009</v>
      </c>
      <c r="B10" s="17" t="s">
        <v>35</v>
      </c>
      <c r="C10" s="17" t="s">
        <v>108</v>
      </c>
      <c r="D10" s="17" t="s">
        <v>40</v>
      </c>
      <c r="E10" s="17" t="s">
        <v>47</v>
      </c>
      <c r="F10" s="30">
        <v>19746</v>
      </c>
      <c r="G10" s="31">
        <v>45047</v>
      </c>
      <c r="H10" s="18" t="str">
        <f t="shared" si="0"/>
        <v>5%</v>
      </c>
      <c r="I10" s="18" t="str">
        <f t="shared" si="1"/>
        <v>Eligible</v>
      </c>
    </row>
    <row r="11" spans="1:9" ht="30.6" customHeight="1" thickBot="1" x14ac:dyDescent="0.35">
      <c r="A11" s="16">
        <v>2010</v>
      </c>
      <c r="B11" s="17" t="s">
        <v>32</v>
      </c>
      <c r="C11" s="17" t="s">
        <v>109</v>
      </c>
      <c r="D11" s="17" t="s">
        <v>33</v>
      </c>
      <c r="E11" s="17" t="s">
        <v>48</v>
      </c>
      <c r="F11" s="30">
        <v>35185</v>
      </c>
      <c r="G11" s="31">
        <v>45062</v>
      </c>
      <c r="H11" s="18" t="str">
        <f t="shared" si="0"/>
        <v>30%</v>
      </c>
      <c r="I11" s="18" t="str">
        <f t="shared" si="1"/>
        <v>Eligible</v>
      </c>
    </row>
    <row r="12" spans="1:9" ht="30.6" customHeight="1" thickBot="1" x14ac:dyDescent="0.35">
      <c r="A12" s="16">
        <v>2011</v>
      </c>
      <c r="B12" s="17" t="s">
        <v>32</v>
      </c>
      <c r="C12" s="17" t="s">
        <v>110</v>
      </c>
      <c r="D12" s="17" t="s">
        <v>40</v>
      </c>
      <c r="E12" s="17" t="s">
        <v>49</v>
      </c>
      <c r="F12" s="30">
        <v>33920</v>
      </c>
      <c r="G12" s="31">
        <v>45077</v>
      </c>
      <c r="H12" s="18" t="str">
        <f t="shared" si="0"/>
        <v>30%</v>
      </c>
      <c r="I12" s="18" t="str">
        <f t="shared" si="1"/>
        <v>Eligible</v>
      </c>
    </row>
    <row r="13" spans="1:9" ht="30.6" customHeight="1" thickBot="1" x14ac:dyDescent="0.35">
      <c r="A13" s="16">
        <v>2012</v>
      </c>
      <c r="B13" s="17" t="s">
        <v>50</v>
      </c>
      <c r="C13" s="17" t="s">
        <v>111</v>
      </c>
      <c r="D13" s="17" t="s">
        <v>42</v>
      </c>
      <c r="E13" s="17" t="s">
        <v>51</v>
      </c>
      <c r="F13" s="30">
        <v>35611</v>
      </c>
      <c r="G13" s="31">
        <v>45092</v>
      </c>
      <c r="H13" s="18" t="str">
        <f t="shared" si="0"/>
        <v>30%</v>
      </c>
      <c r="I13" s="18" t="str">
        <f t="shared" si="1"/>
        <v>Eligible</v>
      </c>
    </row>
    <row r="14" spans="1:9" ht="30.6" customHeight="1" thickBot="1" x14ac:dyDescent="0.35">
      <c r="A14" s="16">
        <v>2013</v>
      </c>
      <c r="B14" s="17" t="s">
        <v>52</v>
      </c>
      <c r="C14" s="17" t="s">
        <v>112</v>
      </c>
      <c r="D14" s="17" t="s">
        <v>40</v>
      </c>
      <c r="E14" s="17" t="s">
        <v>53</v>
      </c>
      <c r="F14" s="30">
        <v>15560</v>
      </c>
      <c r="G14" s="31">
        <v>45107</v>
      </c>
      <c r="H14" s="18" t="str">
        <f t="shared" si="0"/>
        <v>5%</v>
      </c>
      <c r="I14" s="18" t="str">
        <f t="shared" si="1"/>
        <v>Eligible</v>
      </c>
    </row>
    <row r="15" spans="1:9" ht="30.6" customHeight="1" thickBot="1" x14ac:dyDescent="0.35">
      <c r="A15" s="16">
        <v>2014</v>
      </c>
      <c r="B15" s="17" t="s">
        <v>52</v>
      </c>
      <c r="C15" s="17" t="s">
        <v>113</v>
      </c>
      <c r="D15" s="17" t="s">
        <v>33</v>
      </c>
      <c r="E15" s="17" t="s">
        <v>54</v>
      </c>
      <c r="F15" s="30">
        <v>7283</v>
      </c>
      <c r="G15" s="31">
        <v>45122</v>
      </c>
      <c r="H15" s="18" t="str">
        <f t="shared" si="0"/>
        <v>5%</v>
      </c>
      <c r="I15" s="18" t="str">
        <f t="shared" si="1"/>
        <v>NOT Eligible</v>
      </c>
    </row>
    <row r="16" spans="1:9" ht="30.6" customHeight="1" thickBot="1" x14ac:dyDescent="0.35">
      <c r="A16" s="16">
        <v>2015</v>
      </c>
      <c r="B16" s="17" t="s">
        <v>52</v>
      </c>
      <c r="C16" s="17" t="s">
        <v>114</v>
      </c>
      <c r="D16" s="17" t="s">
        <v>40</v>
      </c>
      <c r="E16" s="17" t="s">
        <v>55</v>
      </c>
      <c r="F16" s="30">
        <v>15678</v>
      </c>
      <c r="G16" s="31">
        <v>45137</v>
      </c>
      <c r="H16" s="18" t="str">
        <f t="shared" si="0"/>
        <v>5%</v>
      </c>
      <c r="I16" s="18" t="str">
        <f t="shared" si="1"/>
        <v>Eligible</v>
      </c>
    </row>
    <row r="17" spans="1:9" ht="30.6" customHeight="1" thickBot="1" x14ac:dyDescent="0.35">
      <c r="A17" s="16">
        <v>2016</v>
      </c>
      <c r="B17" s="17" t="s">
        <v>38</v>
      </c>
      <c r="C17" s="17" t="s">
        <v>115</v>
      </c>
      <c r="D17" s="17" t="s">
        <v>40</v>
      </c>
      <c r="E17" s="17" t="s">
        <v>56</v>
      </c>
      <c r="F17" s="30">
        <v>5277</v>
      </c>
      <c r="G17" s="31">
        <v>45152</v>
      </c>
      <c r="H17" s="18" t="str">
        <f t="shared" si="0"/>
        <v>5%</v>
      </c>
      <c r="I17" s="18" t="str">
        <f t="shared" si="1"/>
        <v>NOT Eligible</v>
      </c>
    </row>
    <row r="18" spans="1:9" ht="30.6" customHeight="1" thickBot="1" x14ac:dyDescent="0.35">
      <c r="A18" s="16">
        <v>2017</v>
      </c>
      <c r="B18" s="17" t="s">
        <v>50</v>
      </c>
      <c r="C18" s="17" t="s">
        <v>116</v>
      </c>
      <c r="D18" s="17" t="s">
        <v>42</v>
      </c>
      <c r="E18" s="17" t="s">
        <v>57</v>
      </c>
      <c r="F18" s="30">
        <v>41871</v>
      </c>
      <c r="G18" s="31">
        <v>45167</v>
      </c>
      <c r="H18" s="18" t="str">
        <f t="shared" si="0"/>
        <v>50%</v>
      </c>
      <c r="I18" s="18" t="str">
        <f t="shared" si="1"/>
        <v>Eligible</v>
      </c>
    </row>
    <row r="19" spans="1:9" ht="30.6" customHeight="1" thickBot="1" x14ac:dyDescent="0.35">
      <c r="A19" s="16">
        <v>2018</v>
      </c>
      <c r="B19" s="17" t="s">
        <v>50</v>
      </c>
      <c r="C19" s="17" t="s">
        <v>117</v>
      </c>
      <c r="D19" s="17" t="s">
        <v>36</v>
      </c>
      <c r="E19" s="17" t="s">
        <v>58</v>
      </c>
      <c r="F19" s="30">
        <v>38161</v>
      </c>
      <c r="G19" s="31">
        <v>45182</v>
      </c>
      <c r="H19" s="18" t="str">
        <f t="shared" si="0"/>
        <v>30%</v>
      </c>
      <c r="I19" s="18" t="str">
        <f t="shared" si="1"/>
        <v>Eligible</v>
      </c>
    </row>
    <row r="20" spans="1:9" ht="30.6" customHeight="1" thickBot="1" x14ac:dyDescent="0.35">
      <c r="A20" s="16">
        <v>2019</v>
      </c>
      <c r="B20" s="17" t="s">
        <v>38</v>
      </c>
      <c r="C20" s="17" t="s">
        <v>118</v>
      </c>
      <c r="D20" s="17" t="s">
        <v>36</v>
      </c>
      <c r="E20" s="17" t="s">
        <v>59</v>
      </c>
      <c r="F20" s="30">
        <v>30436</v>
      </c>
      <c r="G20" s="31">
        <v>45197</v>
      </c>
      <c r="H20" s="18" t="str">
        <f t="shared" si="0"/>
        <v>30%</v>
      </c>
      <c r="I20" s="18" t="str">
        <f t="shared" si="1"/>
        <v>Eligible</v>
      </c>
    </row>
    <row r="21" spans="1:9" ht="30.6" customHeight="1" thickBot="1" x14ac:dyDescent="0.35">
      <c r="A21" s="20">
        <v>2020</v>
      </c>
      <c r="B21" s="21" t="s">
        <v>35</v>
      </c>
      <c r="C21" s="17" t="s">
        <v>119</v>
      </c>
      <c r="D21" s="21" t="s">
        <v>36</v>
      </c>
      <c r="E21" s="21" t="s">
        <v>60</v>
      </c>
      <c r="F21" s="32">
        <v>33953</v>
      </c>
      <c r="G21" s="33">
        <v>45212</v>
      </c>
      <c r="H21" s="22" t="str">
        <f t="shared" si="0"/>
        <v>30%</v>
      </c>
      <c r="I21" s="22" t="str">
        <f t="shared" si="1"/>
        <v>Eligible</v>
      </c>
    </row>
    <row r="23" spans="1:9" ht="15" thickBot="1" x14ac:dyDescent="0.35"/>
    <row r="24" spans="1:9" ht="59.4" customHeight="1" thickBot="1" x14ac:dyDescent="0.35">
      <c r="B24" s="68" t="s">
        <v>95</v>
      </c>
      <c r="C24" s="36">
        <f>SUMIFS( F2:F21, B2:B21, "Mouse", D2:D21, "East")</f>
        <v>37335</v>
      </c>
      <c r="E24" s="67" t="s">
        <v>120</v>
      </c>
      <c r="F24" s="38">
        <f>VLOOKUP("PC1006", C2:I21, 4)</f>
        <v>19757</v>
      </c>
      <c r="H24" s="69" t="s">
        <v>136</v>
      </c>
      <c r="I24" s="43">
        <f ca="1">SUM(OFFSET(F1,1,0,3,1))</f>
        <v>48148</v>
      </c>
    </row>
    <row r="26" spans="1:9" ht="15" thickBot="1" x14ac:dyDescent="0.35"/>
    <row r="27" spans="1:9" ht="15" thickBot="1" x14ac:dyDescent="0.35">
      <c r="B27" s="60" t="s">
        <v>121</v>
      </c>
      <c r="C27" s="24" cm="1">
        <f t="array" ref="C27">INDEX(F2:F21, MATCH(1, (E2:E21="Person 7") * (MONTH(G2:G21)=4), 0))</f>
        <v>32058</v>
      </c>
    </row>
    <row r="28" spans="1:9" ht="15" thickBot="1" x14ac:dyDescent="0.35">
      <c r="C28" t="s">
        <v>122</v>
      </c>
    </row>
    <row r="29" spans="1:9" ht="72.599999999999994" thickBot="1" x14ac:dyDescent="0.35">
      <c r="B29" s="69" t="s">
        <v>132</v>
      </c>
      <c r="C29" s="44" t="str">
        <f>_xlfn.XLOOKUP(46429, F2:F21, E2:E21,  )</f>
        <v>Person 8</v>
      </c>
      <c r="E29" s="70" t="s">
        <v>134</v>
      </c>
      <c r="F29" s="46">
        <f>_xlfn.XMATCH("Laptop", B2:B21, 0)</f>
        <v>13</v>
      </c>
    </row>
    <row r="30" spans="1:9" ht="15" thickBot="1" x14ac:dyDescent="0.35"/>
    <row r="31" spans="1:9" ht="15" thickBot="1" x14ac:dyDescent="0.35">
      <c r="B31" s="59"/>
      <c r="C31" s="61" t="s">
        <v>143</v>
      </c>
      <c r="D31" s="61"/>
      <c r="E31" s="58"/>
    </row>
    <row r="32" spans="1:9" ht="15" thickBot="1" x14ac:dyDescent="0.35">
      <c r="C32" s="24"/>
      <c r="D32" s="24"/>
    </row>
    <row r="33" spans="3:4" ht="15" thickBot="1" x14ac:dyDescent="0.35">
      <c r="C33" s="60" t="s">
        <v>140</v>
      </c>
      <c r="D33" s="24">
        <f>ROUND(25.453, 2)</f>
        <v>25.45</v>
      </c>
    </row>
    <row r="34" spans="3:4" ht="15" thickBot="1" x14ac:dyDescent="0.35">
      <c r="C34" s="60" t="s">
        <v>141</v>
      </c>
      <c r="D34" s="24">
        <f>CEILING(4,2)</f>
        <v>4</v>
      </c>
    </row>
    <row r="35" spans="3:4" ht="15" thickBot="1" x14ac:dyDescent="0.35">
      <c r="C35" s="60" t="s">
        <v>142</v>
      </c>
      <c r="D35" s="24">
        <f>FLOOR(15.48,1)</f>
        <v>15</v>
      </c>
    </row>
  </sheetData>
  <mergeCells count="1">
    <mergeCell ref="C31:D31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D9D5B-A725-411C-88DA-7AD3B314E437}">
  <dimension ref="A1:F30"/>
  <sheetViews>
    <sheetView topLeftCell="A13" workbookViewId="0">
      <selection activeCell="B28" sqref="B28"/>
    </sheetView>
  </sheetViews>
  <sheetFormatPr defaultRowHeight="14.4" x14ac:dyDescent="0.3"/>
  <cols>
    <col min="1" max="5" width="16.77734375" customWidth="1"/>
    <col min="6" max="6" width="15.21875" style="53" customWidth="1"/>
  </cols>
  <sheetData>
    <row r="1" spans="1:6" ht="24.6" customHeight="1" thickBot="1" x14ac:dyDescent="0.35">
      <c r="A1" s="7" t="s">
        <v>61</v>
      </c>
      <c r="B1" s="8" t="s">
        <v>1</v>
      </c>
      <c r="C1" s="8" t="s">
        <v>62</v>
      </c>
      <c r="D1" s="12" t="s">
        <v>63</v>
      </c>
      <c r="E1" s="9" t="s">
        <v>64</v>
      </c>
      <c r="F1" s="55" t="s">
        <v>139</v>
      </c>
    </row>
    <row r="2" spans="1:6" ht="24.6" customHeight="1" thickBot="1" x14ac:dyDescent="0.35">
      <c r="A2" s="2">
        <v>3001</v>
      </c>
      <c r="B2" s="1" t="s">
        <v>65</v>
      </c>
      <c r="C2" s="1" t="s">
        <v>66</v>
      </c>
      <c r="D2" s="10">
        <v>86766</v>
      </c>
      <c r="E2" s="3">
        <v>42005</v>
      </c>
      <c r="F2" s="51">
        <f t="shared" ref="F2:F21" ca="1" si="0">DATEDIF(E2, TODAY(), "d")</f>
        <v>4082</v>
      </c>
    </row>
    <row r="3" spans="1:6" ht="24.6" customHeight="1" thickBot="1" x14ac:dyDescent="0.35">
      <c r="A3" s="2">
        <v>3002</v>
      </c>
      <c r="B3" s="1" t="s">
        <v>67</v>
      </c>
      <c r="C3" s="1" t="s">
        <v>66</v>
      </c>
      <c r="D3" s="10">
        <v>31943</v>
      </c>
      <c r="E3" s="3">
        <v>42255</v>
      </c>
      <c r="F3" s="51">
        <f t="shared" ca="1" si="0"/>
        <v>3832</v>
      </c>
    </row>
    <row r="4" spans="1:6" ht="24.6" customHeight="1" thickBot="1" x14ac:dyDescent="0.35">
      <c r="A4" s="2">
        <v>3003</v>
      </c>
      <c r="B4" s="1" t="s">
        <v>68</v>
      </c>
      <c r="C4" s="1" t="s">
        <v>69</v>
      </c>
      <c r="D4" s="10">
        <v>63374</v>
      </c>
      <c r="E4" s="3">
        <v>42505</v>
      </c>
      <c r="F4" s="51">
        <f t="shared" ca="1" si="0"/>
        <v>3582</v>
      </c>
    </row>
    <row r="5" spans="1:6" ht="24.6" customHeight="1" thickBot="1" x14ac:dyDescent="0.35">
      <c r="A5" s="2">
        <v>3004</v>
      </c>
      <c r="B5" s="1" t="s">
        <v>70</v>
      </c>
      <c r="C5" s="1" t="s">
        <v>66</v>
      </c>
      <c r="D5" s="10">
        <v>109972</v>
      </c>
      <c r="E5" s="3">
        <v>42755</v>
      </c>
      <c r="F5" s="51">
        <f t="shared" ca="1" si="0"/>
        <v>3332</v>
      </c>
    </row>
    <row r="6" spans="1:6" ht="24.6" customHeight="1" thickBot="1" x14ac:dyDescent="0.35">
      <c r="A6" s="2">
        <v>3005</v>
      </c>
      <c r="B6" s="1" t="s">
        <v>71</v>
      </c>
      <c r="C6" s="1" t="s">
        <v>72</v>
      </c>
      <c r="D6" s="10">
        <v>54149</v>
      </c>
      <c r="E6" s="3">
        <v>43005</v>
      </c>
      <c r="F6" s="51">
        <f t="shared" ca="1" si="0"/>
        <v>3082</v>
      </c>
    </row>
    <row r="7" spans="1:6" ht="24.6" customHeight="1" thickBot="1" x14ac:dyDescent="0.35">
      <c r="A7" s="2">
        <v>3006</v>
      </c>
      <c r="B7" s="1" t="s">
        <v>73</v>
      </c>
      <c r="C7" s="1" t="s">
        <v>72</v>
      </c>
      <c r="D7" s="10">
        <v>78689</v>
      </c>
      <c r="E7" s="3">
        <v>43255</v>
      </c>
      <c r="F7" s="51">
        <f t="shared" ca="1" si="0"/>
        <v>2832</v>
      </c>
    </row>
    <row r="8" spans="1:6" ht="24.6" customHeight="1" thickBot="1" x14ac:dyDescent="0.35">
      <c r="A8" s="2">
        <v>3007</v>
      </c>
      <c r="B8" s="1" t="s">
        <v>74</v>
      </c>
      <c r="C8" s="1" t="s">
        <v>75</v>
      </c>
      <c r="D8" s="10">
        <v>35960</v>
      </c>
      <c r="E8" s="3">
        <v>43505</v>
      </c>
      <c r="F8" s="51">
        <f t="shared" ca="1" si="0"/>
        <v>2582</v>
      </c>
    </row>
    <row r="9" spans="1:6" ht="24.6" customHeight="1" thickBot="1" x14ac:dyDescent="0.35">
      <c r="A9" s="2">
        <v>3008</v>
      </c>
      <c r="B9" s="1" t="s">
        <v>76</v>
      </c>
      <c r="C9" s="1" t="s">
        <v>72</v>
      </c>
      <c r="D9" s="10">
        <v>91659</v>
      </c>
      <c r="E9" s="3">
        <v>43755</v>
      </c>
      <c r="F9" s="51">
        <f t="shared" ca="1" si="0"/>
        <v>2332</v>
      </c>
    </row>
    <row r="10" spans="1:6" ht="24.6" customHeight="1" thickBot="1" x14ac:dyDescent="0.35">
      <c r="A10" s="2">
        <v>3009</v>
      </c>
      <c r="B10" s="1" t="s">
        <v>77</v>
      </c>
      <c r="C10" s="1" t="s">
        <v>72</v>
      </c>
      <c r="D10" s="10">
        <v>90423</v>
      </c>
      <c r="E10" s="3">
        <v>44005</v>
      </c>
      <c r="F10" s="51">
        <f t="shared" ca="1" si="0"/>
        <v>2082</v>
      </c>
    </row>
    <row r="11" spans="1:6" ht="24.6" customHeight="1" thickBot="1" x14ac:dyDescent="0.35">
      <c r="A11" s="2">
        <v>3010</v>
      </c>
      <c r="B11" s="1" t="s">
        <v>78</v>
      </c>
      <c r="C11" s="1" t="s">
        <v>69</v>
      </c>
      <c r="D11" s="10">
        <v>107877</v>
      </c>
      <c r="E11" s="3">
        <v>44255</v>
      </c>
      <c r="F11" s="51">
        <f t="shared" ca="1" si="0"/>
        <v>1832</v>
      </c>
    </row>
    <row r="12" spans="1:6" ht="24.6" customHeight="1" thickBot="1" x14ac:dyDescent="0.35">
      <c r="A12" s="2">
        <v>3011</v>
      </c>
      <c r="B12" s="1" t="s">
        <v>79</v>
      </c>
      <c r="C12" s="1" t="s">
        <v>66</v>
      </c>
      <c r="D12" s="10">
        <v>107634</v>
      </c>
      <c r="E12" s="3">
        <v>44505</v>
      </c>
      <c r="F12" s="51">
        <f t="shared" ca="1" si="0"/>
        <v>1582</v>
      </c>
    </row>
    <row r="13" spans="1:6" ht="24.6" customHeight="1" thickBot="1" x14ac:dyDescent="0.35">
      <c r="A13" s="2">
        <v>3012</v>
      </c>
      <c r="B13" s="1" t="s">
        <v>80</v>
      </c>
      <c r="C13" s="1" t="s">
        <v>66</v>
      </c>
      <c r="D13" s="10">
        <v>35226</v>
      </c>
      <c r="E13" s="3">
        <v>44755</v>
      </c>
      <c r="F13" s="51">
        <f t="shared" ca="1" si="0"/>
        <v>1332</v>
      </c>
    </row>
    <row r="14" spans="1:6" ht="24.6" customHeight="1" thickBot="1" x14ac:dyDescent="0.35">
      <c r="A14" s="2">
        <v>3013</v>
      </c>
      <c r="B14" s="1" t="s">
        <v>81</v>
      </c>
      <c r="C14" s="1" t="s">
        <v>69</v>
      </c>
      <c r="D14" s="10">
        <v>40872</v>
      </c>
      <c r="E14" s="3">
        <v>45005</v>
      </c>
      <c r="F14" s="51">
        <f t="shared" ca="1" si="0"/>
        <v>1082</v>
      </c>
    </row>
    <row r="15" spans="1:6" ht="24.6" customHeight="1" thickBot="1" x14ac:dyDescent="0.35">
      <c r="A15" s="2">
        <v>3014</v>
      </c>
      <c r="B15" s="1" t="s">
        <v>82</v>
      </c>
      <c r="C15" s="1" t="s">
        <v>69</v>
      </c>
      <c r="D15" s="10">
        <v>55378</v>
      </c>
      <c r="E15" s="3">
        <v>45255</v>
      </c>
      <c r="F15" s="51">
        <f t="shared" ca="1" si="0"/>
        <v>832</v>
      </c>
    </row>
    <row r="16" spans="1:6" ht="24.6" customHeight="1" thickBot="1" x14ac:dyDescent="0.35">
      <c r="A16" s="2">
        <v>3015</v>
      </c>
      <c r="B16" s="1" t="s">
        <v>83</v>
      </c>
      <c r="C16" s="1" t="s">
        <v>69</v>
      </c>
      <c r="D16" s="10">
        <v>63297</v>
      </c>
      <c r="E16" s="3">
        <v>45505</v>
      </c>
      <c r="F16" s="51">
        <f t="shared" ca="1" si="0"/>
        <v>582</v>
      </c>
    </row>
    <row r="17" spans="1:6" ht="24.6" customHeight="1" thickBot="1" x14ac:dyDescent="0.35">
      <c r="A17" s="2">
        <v>3016</v>
      </c>
      <c r="B17" s="1" t="s">
        <v>84</v>
      </c>
      <c r="C17" s="1" t="s">
        <v>66</v>
      </c>
      <c r="D17" s="10">
        <v>114173</v>
      </c>
      <c r="E17" s="3">
        <v>45755</v>
      </c>
      <c r="F17" s="51">
        <f t="shared" ca="1" si="0"/>
        <v>332</v>
      </c>
    </row>
    <row r="18" spans="1:6" ht="24.6" customHeight="1" thickBot="1" x14ac:dyDescent="0.35">
      <c r="A18" s="2">
        <v>3017</v>
      </c>
      <c r="B18" s="1" t="s">
        <v>85</v>
      </c>
      <c r="C18" s="1" t="s">
        <v>69</v>
      </c>
      <c r="D18" s="10">
        <v>86915</v>
      </c>
      <c r="E18" s="3">
        <v>46005</v>
      </c>
      <c r="F18" s="51">
        <f t="shared" ca="1" si="0"/>
        <v>82</v>
      </c>
    </row>
    <row r="19" spans="1:6" ht="24.6" customHeight="1" thickBot="1" x14ac:dyDescent="0.35">
      <c r="A19" s="2">
        <v>3018</v>
      </c>
      <c r="B19" s="1" t="s">
        <v>86</v>
      </c>
      <c r="C19" s="1" t="s">
        <v>72</v>
      </c>
      <c r="D19" s="10">
        <v>116284</v>
      </c>
      <c r="E19" s="3">
        <v>44794</v>
      </c>
      <c r="F19" s="51">
        <f t="shared" ca="1" si="0"/>
        <v>1293</v>
      </c>
    </row>
    <row r="20" spans="1:6" ht="24.6" customHeight="1" thickBot="1" x14ac:dyDescent="0.35">
      <c r="A20" s="2">
        <v>3019</v>
      </c>
      <c r="B20" s="1" t="s">
        <v>87</v>
      </c>
      <c r="C20" s="1" t="s">
        <v>75</v>
      </c>
      <c r="D20" s="10">
        <v>116283</v>
      </c>
      <c r="E20" s="3">
        <v>45410</v>
      </c>
      <c r="F20" s="51">
        <f t="shared" ca="1" si="0"/>
        <v>677</v>
      </c>
    </row>
    <row r="21" spans="1:6" ht="24.6" customHeight="1" thickBot="1" x14ac:dyDescent="0.35">
      <c r="A21" s="4">
        <v>3020</v>
      </c>
      <c r="B21" s="5" t="s">
        <v>88</v>
      </c>
      <c r="C21" s="5" t="s">
        <v>75</v>
      </c>
      <c r="D21" s="11">
        <v>99924</v>
      </c>
      <c r="E21" s="6">
        <v>45294</v>
      </c>
      <c r="F21" s="51">
        <f t="shared" ca="1" si="0"/>
        <v>793</v>
      </c>
    </row>
    <row r="23" spans="1:6" ht="15" thickBot="1" x14ac:dyDescent="0.35"/>
    <row r="24" spans="1:6" ht="15" thickBot="1" x14ac:dyDescent="0.35">
      <c r="B24" s="60" t="s">
        <v>121</v>
      </c>
      <c r="C24" s="24">
        <f>INDEX(A2:E21, MATCH("Employee 6", B2:B21, 0), MATCH("Salary", A1:E1, 0))</f>
        <v>78689</v>
      </c>
    </row>
    <row r="25" spans="1:6" ht="15" thickBot="1" x14ac:dyDescent="0.35"/>
    <row r="26" spans="1:6" ht="58.2" thickBot="1" x14ac:dyDescent="0.35">
      <c r="B26" s="70" t="s">
        <v>133</v>
      </c>
      <c r="C26" s="43">
        <f>_xlfn.XLOOKUP("Employee 1", B2:B21, D2:D21)</f>
        <v>86766</v>
      </c>
    </row>
    <row r="27" spans="1:6" ht="15" thickBot="1" x14ac:dyDescent="0.35"/>
    <row r="28" spans="1:6" ht="58.2" thickBot="1" x14ac:dyDescent="0.35">
      <c r="B28" s="70" t="s">
        <v>135</v>
      </c>
      <c r="C28" s="43">
        <f ca="1">SUM(INDIRECT("Salary"))</f>
        <v>1586798</v>
      </c>
    </row>
    <row r="30" spans="1:6" x14ac:dyDescent="0.3">
      <c r="B30" s="56"/>
      <c r="C30" s="5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4B516-F055-41A3-A97E-1D4043A3BECA}">
  <dimension ref="A1:E5"/>
  <sheetViews>
    <sheetView zoomScale="145" workbookViewId="0">
      <selection activeCell="E10" sqref="E10"/>
    </sheetView>
  </sheetViews>
  <sheetFormatPr defaultRowHeight="14.4" x14ac:dyDescent="0.3"/>
  <cols>
    <col min="1" max="1" width="11.6640625" customWidth="1"/>
    <col min="2" max="2" width="9.77734375" customWidth="1"/>
    <col min="3" max="3" width="10" customWidth="1"/>
    <col min="5" max="5" width="11.77734375" customWidth="1"/>
  </cols>
  <sheetData>
    <row r="1" spans="1:5" ht="15" thickBot="1" x14ac:dyDescent="0.35">
      <c r="A1" s="41" t="s">
        <v>128</v>
      </c>
      <c r="B1" s="72" t="s">
        <v>127</v>
      </c>
      <c r="C1" s="72" t="s">
        <v>129</v>
      </c>
      <c r="D1" s="72" t="s">
        <v>130</v>
      </c>
      <c r="E1" s="40" t="s">
        <v>131</v>
      </c>
    </row>
    <row r="2" spans="1:5" ht="15" thickBot="1" x14ac:dyDescent="0.35">
      <c r="A2" s="45" t="s">
        <v>123</v>
      </c>
      <c r="B2" s="24" t="str">
        <f>LEFT(A2, 5)</f>
        <v>alice</v>
      </c>
      <c r="C2" s="24">
        <f>FIND("i", B2)</f>
        <v>3</v>
      </c>
      <c r="D2" s="24" t="str">
        <f>UPPER(B2)</f>
        <v>ALICE</v>
      </c>
      <c r="E2" s="71" t="str">
        <f>LOWER(A2)</f>
        <v>alice smith</v>
      </c>
    </row>
    <row r="3" spans="1:5" ht="15" thickBot="1" x14ac:dyDescent="0.35">
      <c r="A3" s="45" t="s">
        <v>124</v>
      </c>
      <c r="B3" s="24" t="str">
        <f t="shared" ref="B3:B5" si="0">LEFT(A3, 5)</f>
        <v xml:space="preserve">john </v>
      </c>
      <c r="C3" s="24">
        <f>FIND("o", B3)</f>
        <v>2</v>
      </c>
      <c r="D3" s="24" t="str">
        <f t="shared" ref="D3:D5" si="1">UPPER(B3)</f>
        <v xml:space="preserve">JOHN </v>
      </c>
      <c r="E3" s="71" t="str">
        <f t="shared" ref="E3:E5" si="2">LOWER(A3)</f>
        <v>john jane</v>
      </c>
    </row>
    <row r="4" spans="1:5" ht="15" thickBot="1" x14ac:dyDescent="0.35">
      <c r="A4" s="45" t="s">
        <v>125</v>
      </c>
      <c r="B4" s="24" t="str">
        <f t="shared" si="0"/>
        <v>charl</v>
      </c>
      <c r="C4" s="24">
        <f>FIND("c",B4)</f>
        <v>1</v>
      </c>
      <c r="D4" s="24" t="str">
        <f t="shared" si="1"/>
        <v>CHARL</v>
      </c>
      <c r="E4" s="71" t="str">
        <f t="shared" si="2"/>
        <v>charlie smith</v>
      </c>
    </row>
    <row r="5" spans="1:5" x14ac:dyDescent="0.3">
      <c r="A5" s="42" t="s">
        <v>126</v>
      </c>
      <c r="B5" s="73" t="str">
        <f t="shared" si="0"/>
        <v>bob p</v>
      </c>
      <c r="C5" s="73">
        <f>FIND("p", B5)</f>
        <v>5</v>
      </c>
      <c r="D5" s="73" t="str">
        <f t="shared" si="1"/>
        <v>BOB P</v>
      </c>
      <c r="E5" s="39" t="str">
        <f t="shared" si="2"/>
        <v>bob patel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Student Grade</vt:lpstr>
      <vt:lpstr>Sales Data</vt:lpstr>
      <vt:lpstr>Employee Data</vt:lpstr>
      <vt:lpstr>TEXT FUNCTION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Jeel Prajapati</dc:creator>
  <cp:lastModifiedBy>Jeel Prajapati</cp:lastModifiedBy>
  <dcterms:created xsi:type="dcterms:W3CDTF">2026-03-05T05:06:21Z</dcterms:created>
  <dcterms:modified xsi:type="dcterms:W3CDTF">2026-03-06T06:44:22Z</dcterms:modified>
</cp:coreProperties>
</file>